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Notes" sheetId="2" state="visible" r:id="rId4"/>
    <sheet name="Categories" sheetId="3" state="visible" r:id="rId5"/>
    <sheet name="Contacts" sheetId="4" state="visible" r:id="rId6"/>
    <sheet name="Sales" sheetId="5" state="visible" r:id="rId7"/>
    <sheet name="Purchases" sheetId="6" state="visible" r:id="rId8"/>
    <sheet name="Bank oth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5" authorId="0">
      <text>
        <r>
          <rPr>
            <sz val="10"/>
            <rFont val="Arial"/>
            <family val="2"/>
          </rPr>
          <t xml:space="preserve">Old-sheet habit: amounts typed as text (e.g. "1 850,00") are not counted by SUM. The software reads them correctly.</t>
        </r>
      </text>
    </comment>
  </commentList>
</comments>
</file>

<file path=xl/sharedStrings.xml><?xml version="1.0" encoding="utf-8"?>
<sst xmlns="http://schemas.openxmlformats.org/spreadsheetml/2006/main" count="172" uniqueCount="123">
  <si>
    <t xml:space="preserve">Date</t>
  </si>
  <si>
    <t xml:space="preserve">Description</t>
  </si>
  <si>
    <t xml:space="preserve">Category</t>
  </si>
  <si>
    <t xml:space="preserve">Amount (R)</t>
  </si>
  <si>
    <t xml:space="preserve">Rent - Unit 4, Industria</t>
  </si>
  <si>
    <t xml:space="preserve">Rent</t>
  </si>
  <si>
    <t xml:space="preserve">05/07/2026</t>
  </si>
  <si>
    <t xml:space="preserve">Eskom prepaid electricity</t>
  </si>
  <si>
    <t xml:space="preserve">Electricity</t>
  </si>
  <si>
    <t xml:space="preserve">1 850,00</t>
  </si>
  <si>
    <t xml:space="preserve">07/07/2026</t>
  </si>
  <si>
    <t xml:space="preserve">Telkom fibre - July</t>
  </si>
  <si>
    <t xml:space="preserve">Internet</t>
  </si>
  <si>
    <t xml:space="preserve">R899.00</t>
  </si>
  <si>
    <t xml:space="preserve">15/07/2026</t>
  </si>
  <si>
    <t xml:space="preserve">Engen - delivery van fuel</t>
  </si>
  <si>
    <t xml:space="preserve">Fuel</t>
  </si>
  <si>
    <t xml:space="preserve">1 240,50</t>
  </si>
  <si>
    <t xml:space="preserve">06/08/2026</t>
  </si>
  <si>
    <t xml:space="preserve">2 010,00</t>
  </si>
  <si>
    <t xml:space="preserve">07/08/2026</t>
  </si>
  <si>
    <t xml:space="preserve">Telkom fibre - August</t>
  </si>
  <si>
    <t xml:space="preserve">18/08/2026</t>
  </si>
  <si>
    <t xml:space="preserve">Facebook ads - spring promo</t>
  </si>
  <si>
    <t xml:space="preserve">Marketing</t>
  </si>
  <si>
    <t xml:space="preserve">1,500.00</t>
  </si>
  <si>
    <t xml:space="preserve">21/08/2026</t>
  </si>
  <si>
    <t xml:space="preserve">Refund - Telkom overcharge</t>
  </si>
  <si>
    <t xml:space="preserve">(99,00)</t>
  </si>
  <si>
    <t xml:space="preserve">05/09/2026</t>
  </si>
  <si>
    <t xml:space="preserve">1 920,00</t>
  </si>
  <si>
    <t xml:space="preserve">07/09/2026</t>
  </si>
  <si>
    <t xml:space="preserve">Telkom fibre - September</t>
  </si>
  <si>
    <t xml:space="preserve">TOTAL (numeric cells only)</t>
  </si>
  <si>
    <t xml:space="preserve">Typed by hand over the quarter: mixed date styles, SA and US number formats, a blank row, a refund in brackets and a totals row, the way real old books look.</t>
  </si>
  <si>
    <t xml:space="preserve">Item</t>
  </si>
  <si>
    <t xml:space="preserve">Value</t>
  </si>
  <si>
    <t xml:space="preserve">Business</t>
  </si>
  <si>
    <t xml:space="preserve">Karoo Coffee Roasters (Pty) Ltd (fictional test company)</t>
  </si>
  <si>
    <t xml:space="preserve">VAT number</t>
  </si>
  <si>
    <t xml:space="preserve">4123456789</t>
  </si>
  <si>
    <t xml:space="preserve">VAT rate</t>
  </si>
  <si>
    <t xml:space="preserve">Opening bank balance 1 Jul 2026 (R)</t>
  </si>
  <si>
    <t xml:space="preserve">Bank</t>
  </si>
  <si>
    <t xml:space="preserve">FNB Business Cheque</t>
  </si>
  <si>
    <t xml:space="preserve">Invoice terms (days)</t>
  </si>
  <si>
    <t xml:space="preserve">How to use</t>
  </si>
  <si>
    <t xml:space="preserve">Blue cells are inputs. Ex VAT, VAT and Total are formulas.</t>
  </si>
  <si>
    <t xml:space="preserve">Source</t>
  </si>
  <si>
    <t xml:space="preserve">All figures are made up for testing Nexus Ledger.</t>
  </si>
  <si>
    <t xml:space="preserve">Ledger account code</t>
  </si>
  <si>
    <t xml:space="preserve">Ledger account</t>
  </si>
  <si>
    <t xml:space="preserve">6100</t>
  </si>
  <si>
    <t xml:space="preserve">6200</t>
  </si>
  <si>
    <t xml:space="preserve">Electricity &amp; Water</t>
  </si>
  <si>
    <t xml:space="preserve">6300</t>
  </si>
  <si>
    <t xml:space="preserve">Telephone &amp; Internet</t>
  </si>
  <si>
    <t xml:space="preserve">6600</t>
  </si>
  <si>
    <t xml:space="preserve">Fuel &amp; Travel</t>
  </si>
  <si>
    <t xml:space="preserve">6800</t>
  </si>
  <si>
    <t xml:space="preserve">Marketing &amp; Advertising</t>
  </si>
  <si>
    <t xml:space="preserve">Name</t>
  </si>
  <si>
    <t xml:space="preserve">Type</t>
  </si>
  <si>
    <t xml:space="preserve">Email</t>
  </si>
  <si>
    <t xml:space="preserve">Phone</t>
  </si>
  <si>
    <t xml:space="preserve">Bean There Cafe</t>
  </si>
  <si>
    <t xml:space="preserve">CUSTOMER</t>
  </si>
  <si>
    <t xml:space="preserve">accounts@beanthere.example</t>
  </si>
  <si>
    <t xml:space="preserve">0215550101</t>
  </si>
  <si>
    <t xml:space="preserve">Stellenbosch Deli</t>
  </si>
  <si>
    <t xml:space="preserve">admin@stbdeli.example</t>
  </si>
  <si>
    <t xml:space="preserve">0215550144</t>
  </si>
  <si>
    <t xml:space="preserve">Hotel Breede</t>
  </si>
  <si>
    <t xml:space="preserve">finance@hotelbreede.example</t>
  </si>
  <si>
    <t xml:space="preserve">0235550199</t>
  </si>
  <si>
    <t xml:space="preserve">Green Bean Importers</t>
  </si>
  <si>
    <t xml:space="preserve">SUPPLIER</t>
  </si>
  <si>
    <t xml:space="preserve">billing@greenbean.example</t>
  </si>
  <si>
    <t xml:space="preserve">0115550123</t>
  </si>
  <si>
    <t xml:space="preserve">PackRight Packaging</t>
  </si>
  <si>
    <t xml:space="preserve">ar@packright.example</t>
  </si>
  <si>
    <t xml:space="preserve">0315550177</t>
  </si>
  <si>
    <t xml:space="preserve">Ref</t>
  </si>
  <si>
    <t xml:space="preserve">Customer</t>
  </si>
  <si>
    <t xml:space="preserve">Qty</t>
  </si>
  <si>
    <t xml:space="preserve">Unit price ex VAT</t>
  </si>
  <si>
    <t xml:space="preserve">Ex VAT</t>
  </si>
  <si>
    <t xml:space="preserve">VAT</t>
  </si>
  <si>
    <t xml:space="preserve">Total</t>
  </si>
  <si>
    <t xml:space="preserve">Paid on</t>
  </si>
  <si>
    <t xml:space="preserve">Amount paid</t>
  </si>
  <si>
    <t xml:space="preserve">Credit note qty</t>
  </si>
  <si>
    <t xml:space="preserve">Note</t>
  </si>
  <si>
    <t xml:space="preserve">S1</t>
  </si>
  <si>
    <t xml:space="preserve">Espresso blend 1kg</t>
  </si>
  <si>
    <t xml:space="preserve">Paid in full</t>
  </si>
  <si>
    <t xml:space="preserve">S2</t>
  </si>
  <si>
    <t xml:space="preserve">House blend 1kg</t>
  </si>
  <si>
    <t xml:space="preserve">Part payment, rest still owing</t>
  </si>
  <si>
    <t xml:space="preserve">S3</t>
  </si>
  <si>
    <t xml:space="preserve">Filter blend 1kg</t>
  </si>
  <si>
    <t xml:space="preserve">5 bags damaged in delivery: credit note 12 Aug</t>
  </si>
  <si>
    <t xml:space="preserve">S4</t>
  </si>
  <si>
    <t xml:space="preserve">Unpaid, due 2 Oct (overdue)</t>
  </si>
  <si>
    <t xml:space="preserve">Q1</t>
  </si>
  <si>
    <t xml:space="preserve">Espresso machine service</t>
  </si>
  <si>
    <t xml:space="preserve">Started as a quote, accepted, converted</t>
  </si>
  <si>
    <t xml:space="preserve">Supplier</t>
  </si>
  <si>
    <t xml:space="preserve">Account code</t>
  </si>
  <si>
    <t xml:space="preserve">P1</t>
  </si>
  <si>
    <t xml:space="preserve">Green beans Ethiopia 60kg bag</t>
  </si>
  <si>
    <t xml:space="preserve">5000</t>
  </si>
  <si>
    <t xml:space="preserve">P2</t>
  </si>
  <si>
    <t xml:space="preserve">Green beans Brazil 60kg bag</t>
  </si>
  <si>
    <t xml:space="preserve">P3</t>
  </si>
  <si>
    <t xml:space="preserve">Valve coffee bags 1kg</t>
  </si>
  <si>
    <t xml:space="preserve">Description on statement</t>
  </si>
  <si>
    <t xml:space="preserve">Money in</t>
  </si>
  <si>
    <t xml:space="preserve">Money out</t>
  </si>
  <si>
    <t xml:space="preserve">FNB SERVICE FEE</t>
  </si>
  <si>
    <t xml:space="preserve">6400</t>
  </si>
  <si>
    <t xml:space="preserve">CASH DEP MARKET DAY</t>
  </si>
  <si>
    <t xml:space="preserve">4100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</si>
</sst>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46204</v>
      </c>
      <c r="B2" s="3" t="s">
        <v>4</v>
      </c>
      <c r="C2" s="3" t="s">
        <v>5</v>
      </c>
      <c r="D2" s="4" t="n">
        <v>12000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</row>
    <row r="4" customFormat="false" ht="1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</row>
    <row r="7" customFormat="false" ht="15" hidden="false" customHeight="false" outlineLevel="0" collapsed="false">
      <c r="A7" s="2" t="n">
        <v>46235</v>
      </c>
      <c r="B7" s="3" t="s">
        <v>4</v>
      </c>
      <c r="C7" s="3" t="s">
        <v>5</v>
      </c>
      <c r="D7" s="4" t="n">
        <v>12000</v>
      </c>
    </row>
    <row r="8" customFormat="false" ht="15" hidden="false" customHeight="false" outlineLevel="0" collapsed="false">
      <c r="A8" s="3" t="s">
        <v>18</v>
      </c>
      <c r="B8" s="3" t="s">
        <v>7</v>
      </c>
      <c r="C8" s="3" t="s">
        <v>8</v>
      </c>
      <c r="D8" s="3" t="s">
        <v>19</v>
      </c>
    </row>
    <row r="9" customFormat="false" ht="15" hidden="false" customHeight="false" outlineLevel="0" collapsed="false">
      <c r="A9" s="3" t="s">
        <v>20</v>
      </c>
      <c r="B9" s="3" t="s">
        <v>21</v>
      </c>
      <c r="C9" s="3" t="s">
        <v>12</v>
      </c>
      <c r="D9" s="4" t="n">
        <v>899</v>
      </c>
    </row>
    <row r="10" customFormat="false" ht="15" hidden="false" customHeight="false" outlineLevel="0" collapsed="false">
      <c r="A10" s="3" t="s">
        <v>22</v>
      </c>
      <c r="B10" s="3" t="s">
        <v>23</v>
      </c>
      <c r="C10" s="3" t="s">
        <v>24</v>
      </c>
      <c r="D10" s="3" t="s">
        <v>25</v>
      </c>
    </row>
    <row r="11" customFormat="false" ht="15" hidden="false" customHeight="false" outlineLevel="0" collapsed="false">
      <c r="A11" s="3" t="s">
        <v>26</v>
      </c>
      <c r="B11" s="3" t="s">
        <v>27</v>
      </c>
      <c r="C11" s="3" t="s">
        <v>12</v>
      </c>
      <c r="D11" s="3" t="s">
        <v>28</v>
      </c>
    </row>
    <row r="12" customFormat="false" ht="15" hidden="false" customHeight="false" outlineLevel="0" collapsed="false">
      <c r="A12" s="2" t="n">
        <v>46266</v>
      </c>
      <c r="B12" s="3" t="s">
        <v>4</v>
      </c>
      <c r="C12" s="3" t="s">
        <v>5</v>
      </c>
      <c r="D12" s="4" t="n">
        <v>12000</v>
      </c>
    </row>
    <row r="13" customFormat="false" ht="15" hidden="false" customHeight="false" outlineLevel="0" collapsed="false">
      <c r="A13" s="3" t="s">
        <v>29</v>
      </c>
      <c r="B13" s="3" t="s">
        <v>7</v>
      </c>
      <c r="C13" s="3" t="s">
        <v>8</v>
      </c>
      <c r="D13" s="3" t="s">
        <v>30</v>
      </c>
    </row>
    <row r="14" customFormat="false" ht="15" hidden="false" customHeight="false" outlineLevel="0" collapsed="false">
      <c r="A14" s="3" t="s">
        <v>31</v>
      </c>
      <c r="B14" s="3" t="s">
        <v>32</v>
      </c>
      <c r="C14" s="3" t="s">
        <v>12</v>
      </c>
      <c r="D14" s="4" t="n">
        <v>899</v>
      </c>
    </row>
    <row r="15" customFormat="false" ht="15" hidden="false" customHeight="false" outlineLevel="0" collapsed="false">
      <c r="B15" s="5" t="s">
        <v>33</v>
      </c>
      <c r="D15" s="6" t="n">
        <f aca="false">SUM(D2:D14)</f>
        <v>37798</v>
      </c>
    </row>
    <row r="17" customFormat="false" ht="15" hidden="false" customHeight="false" outlineLevel="0" collapsed="false">
      <c r="A17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</cols>
  <sheetData>
    <row r="1" customFormat="false" ht="15" hidden="false" customHeight="false" outlineLevel="0" collapsed="false">
      <c r="A1" s="1" t="s">
        <v>35</v>
      </c>
      <c r="B1" s="1" t="s">
        <v>36</v>
      </c>
    </row>
    <row r="2" customFormat="false" ht="15" hidden="false" customHeight="false" outlineLevel="0" collapsed="false">
      <c r="A2" s="3" t="s">
        <v>37</v>
      </c>
      <c r="B2" s="3" t="s">
        <v>38</v>
      </c>
    </row>
    <row r="3" customFormat="false" ht="15" hidden="false" customHeight="false" outlineLevel="0" collapsed="false">
      <c r="A3" s="3" t="s">
        <v>39</v>
      </c>
      <c r="B3" s="3" t="s">
        <v>40</v>
      </c>
    </row>
    <row r="4" customFormat="false" ht="15" hidden="false" customHeight="false" outlineLevel="0" collapsed="false">
      <c r="A4" s="3" t="s">
        <v>41</v>
      </c>
      <c r="B4" s="8" t="n">
        <v>0.15</v>
      </c>
    </row>
    <row r="5" customFormat="false" ht="15" hidden="false" customHeight="false" outlineLevel="0" collapsed="false">
      <c r="A5" s="3" t="s">
        <v>42</v>
      </c>
      <c r="B5" s="9" t="n">
        <v>80000</v>
      </c>
    </row>
    <row r="6" customFormat="false" ht="15" hidden="false" customHeight="false" outlineLevel="0" collapsed="false">
      <c r="A6" s="3" t="s">
        <v>43</v>
      </c>
      <c r="B6" s="3" t="s">
        <v>44</v>
      </c>
    </row>
    <row r="7" customFormat="false" ht="15" hidden="false" customHeight="false" outlineLevel="0" collapsed="false">
      <c r="A7" s="3" t="s">
        <v>45</v>
      </c>
      <c r="B7" s="10" t="n">
        <v>30</v>
      </c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5" t="s">
        <v>46</v>
      </c>
      <c r="B9" s="3" t="s">
        <v>47</v>
      </c>
    </row>
    <row r="10" customFormat="false" ht="15" hidden="false" customHeight="false" outlineLevel="0" collapsed="false">
      <c r="A10" s="3" t="s">
        <v>48</v>
      </c>
      <c r="B10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2</v>
      </c>
      <c r="B1" s="1" t="s">
        <v>50</v>
      </c>
      <c r="C1" s="1" t="s">
        <v>51</v>
      </c>
    </row>
    <row r="2" customFormat="false" ht="15" hidden="false" customHeight="false" outlineLevel="0" collapsed="false">
      <c r="A2" s="3" t="s">
        <v>5</v>
      </c>
      <c r="B2" s="3" t="s">
        <v>52</v>
      </c>
      <c r="C2" s="3" t="s">
        <v>5</v>
      </c>
    </row>
    <row r="3" customFormat="false" ht="15" hidden="false" customHeight="false" outlineLevel="0" collapsed="false">
      <c r="A3" s="3" t="s">
        <v>8</v>
      </c>
      <c r="B3" s="3" t="s">
        <v>53</v>
      </c>
      <c r="C3" s="3" t="s">
        <v>54</v>
      </c>
    </row>
    <row r="4" customFormat="false" ht="15" hidden="false" customHeight="false" outlineLevel="0" collapsed="false">
      <c r="A4" s="3" t="s">
        <v>12</v>
      </c>
      <c r="B4" s="3" t="s">
        <v>55</v>
      </c>
      <c r="C4" s="3" t="s">
        <v>56</v>
      </c>
    </row>
    <row r="5" customFormat="false" ht="15" hidden="false" customHeight="false" outlineLevel="0" collapsed="false">
      <c r="A5" s="3" t="s">
        <v>16</v>
      </c>
      <c r="B5" s="3" t="s">
        <v>57</v>
      </c>
      <c r="C5" s="3" t="s">
        <v>58</v>
      </c>
    </row>
    <row r="6" customFormat="false" ht="15" hidden="false" customHeight="false" outlineLevel="0" collapsed="false">
      <c r="A6" s="3" t="s">
        <v>24</v>
      </c>
      <c r="B6" s="3" t="s">
        <v>59</v>
      </c>
      <c r="C6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61</v>
      </c>
      <c r="B1" s="1" t="s">
        <v>62</v>
      </c>
      <c r="C1" s="1" t="s">
        <v>63</v>
      </c>
      <c r="D1" s="1" t="s">
        <v>64</v>
      </c>
    </row>
    <row r="2" customFormat="false" ht="15" hidden="false" customHeight="false" outlineLevel="0" collapsed="false">
      <c r="A2" s="3" t="s">
        <v>65</v>
      </c>
      <c r="B2" s="3" t="s">
        <v>66</v>
      </c>
      <c r="C2" s="3" t="s">
        <v>67</v>
      </c>
      <c r="D2" s="3" t="s">
        <v>68</v>
      </c>
    </row>
    <row r="3" customFormat="false" ht="15" hidden="false" customHeight="false" outlineLevel="0" collapsed="false">
      <c r="A3" s="3" t="s">
        <v>69</v>
      </c>
      <c r="B3" s="3" t="s">
        <v>66</v>
      </c>
      <c r="C3" s="3" t="s">
        <v>70</v>
      </c>
      <c r="D3" s="3" t="s">
        <v>71</v>
      </c>
    </row>
    <row r="4" customFormat="false" ht="15" hidden="false" customHeight="false" outlineLevel="0" collapsed="false">
      <c r="A4" s="3" t="s">
        <v>72</v>
      </c>
      <c r="B4" s="3" t="s">
        <v>66</v>
      </c>
      <c r="C4" s="3" t="s">
        <v>73</v>
      </c>
      <c r="D4" s="3" t="s">
        <v>74</v>
      </c>
    </row>
    <row r="5" customFormat="false" ht="15" hidden="false" customHeight="false" outlineLevel="0" collapsed="false">
      <c r="A5" s="3" t="s">
        <v>75</v>
      </c>
      <c r="B5" s="3" t="s">
        <v>76</v>
      </c>
      <c r="C5" s="3" t="s">
        <v>77</v>
      </c>
      <c r="D5" s="3" t="s">
        <v>78</v>
      </c>
    </row>
    <row r="6" customFormat="false" ht="15" hidden="false" customHeight="false" outlineLevel="0" collapsed="false">
      <c r="A6" s="3" t="s">
        <v>79</v>
      </c>
      <c r="B6" s="3" t="s">
        <v>76</v>
      </c>
      <c r="C6" s="3" t="s">
        <v>80</v>
      </c>
      <c r="D6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12"/>
    <col collapsed="false" customWidth="true" hidden="false" outlineLevel="0" max="12" min="12" style="0" width="1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1" t="s">
        <v>0</v>
      </c>
      <c r="B1" s="1" t="s">
        <v>82</v>
      </c>
      <c r="C1" s="1" t="s">
        <v>83</v>
      </c>
      <c r="D1" s="1" t="s">
        <v>35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</row>
    <row r="2" customFormat="false" ht="15" hidden="false" customHeight="false" outlineLevel="0" collapsed="false">
      <c r="A2" s="2" t="n">
        <v>46206</v>
      </c>
      <c r="B2" s="3" t="s">
        <v>93</v>
      </c>
      <c r="C2" s="3" t="s">
        <v>65</v>
      </c>
      <c r="D2" s="3" t="s">
        <v>94</v>
      </c>
      <c r="E2" s="10" t="n">
        <v>40</v>
      </c>
      <c r="F2" s="9" t="n">
        <v>320</v>
      </c>
      <c r="G2" s="4" t="n">
        <f aca="false">E2*F2</f>
        <v>12800</v>
      </c>
      <c r="H2" s="4" t="n">
        <f aca="false">ROUND(G2*Notes!$B$4,2)</f>
        <v>1920</v>
      </c>
      <c r="I2" s="4" t="n">
        <f aca="false">G2+H2</f>
        <v>14720</v>
      </c>
      <c r="J2" s="2" t="n">
        <v>46223</v>
      </c>
      <c r="K2" s="4" t="n">
        <f aca="false">I2-IF(L2="",0,L2*F2*(1+Notes!$B$4))</f>
        <v>14720</v>
      </c>
      <c r="L2" s="3"/>
      <c r="M2" s="3" t="s">
        <v>95</v>
      </c>
    </row>
    <row r="3" customFormat="false" ht="15" hidden="false" customHeight="false" outlineLevel="0" collapsed="false">
      <c r="A3" s="2" t="n">
        <v>46213</v>
      </c>
      <c r="B3" s="3" t="s">
        <v>96</v>
      </c>
      <c r="C3" s="3" t="s">
        <v>69</v>
      </c>
      <c r="D3" s="3" t="s">
        <v>97</v>
      </c>
      <c r="E3" s="10" t="n">
        <v>25</v>
      </c>
      <c r="F3" s="9" t="n">
        <v>330</v>
      </c>
      <c r="G3" s="4" t="n">
        <f aca="false">E3*F3</f>
        <v>8250</v>
      </c>
      <c r="H3" s="4" t="n">
        <f aca="false">ROUND(G3*Notes!$B$4,2)</f>
        <v>1237.5</v>
      </c>
      <c r="I3" s="4" t="n">
        <f aca="false">G3+H3</f>
        <v>9487.5</v>
      </c>
      <c r="J3" s="2" t="n">
        <v>46239</v>
      </c>
      <c r="K3" s="9" t="n">
        <v>5000</v>
      </c>
      <c r="L3" s="3"/>
      <c r="M3" s="3" t="s">
        <v>98</v>
      </c>
    </row>
    <row r="4" customFormat="false" ht="15" hidden="false" customHeight="false" outlineLevel="0" collapsed="false">
      <c r="A4" s="2" t="n">
        <v>46238</v>
      </c>
      <c r="B4" s="3" t="s">
        <v>99</v>
      </c>
      <c r="C4" s="3" t="s">
        <v>72</v>
      </c>
      <c r="D4" s="3" t="s">
        <v>100</v>
      </c>
      <c r="E4" s="10" t="n">
        <v>60</v>
      </c>
      <c r="F4" s="9" t="n">
        <v>300</v>
      </c>
      <c r="G4" s="4" t="n">
        <f aca="false">E4*F4</f>
        <v>18000</v>
      </c>
      <c r="H4" s="4" t="n">
        <f aca="false">ROUND(G4*Notes!$B$4,2)</f>
        <v>2700</v>
      </c>
      <c r="I4" s="4" t="n">
        <f aca="false">G4+H4</f>
        <v>20700</v>
      </c>
      <c r="J4" s="2" t="n">
        <v>46264</v>
      </c>
      <c r="K4" s="4" t="n">
        <f aca="false">I4-IF(L4="",0,L4*F4*(1+Notes!$B$4))</f>
        <v>18975</v>
      </c>
      <c r="L4" s="10" t="n">
        <v>5</v>
      </c>
      <c r="M4" s="3" t="s">
        <v>101</v>
      </c>
    </row>
    <row r="5" customFormat="false" ht="15" hidden="false" customHeight="false" outlineLevel="0" collapsed="false">
      <c r="A5" s="2" t="n">
        <v>46267</v>
      </c>
      <c r="B5" s="3" t="s">
        <v>102</v>
      </c>
      <c r="C5" s="3" t="s">
        <v>65</v>
      </c>
      <c r="D5" s="3" t="s">
        <v>94</v>
      </c>
      <c r="E5" s="10" t="n">
        <v>40</v>
      </c>
      <c r="F5" s="9" t="n">
        <v>320</v>
      </c>
      <c r="G5" s="4" t="n">
        <f aca="false">E5*F5</f>
        <v>12800</v>
      </c>
      <c r="H5" s="4" t="n">
        <f aca="false">ROUND(G5*Notes!$B$4,2)</f>
        <v>1920</v>
      </c>
      <c r="I5" s="4" t="n">
        <f aca="false">G5+H5</f>
        <v>14720</v>
      </c>
      <c r="J5" s="3"/>
      <c r="K5" s="4"/>
      <c r="L5" s="3"/>
      <c r="M5" s="3" t="s">
        <v>103</v>
      </c>
    </row>
    <row r="6" customFormat="false" ht="15" hidden="false" customHeight="false" outlineLevel="0" collapsed="false">
      <c r="A6" s="2" t="n">
        <v>46275</v>
      </c>
      <c r="B6" s="3" t="s">
        <v>104</v>
      </c>
      <c r="C6" s="3" t="s">
        <v>69</v>
      </c>
      <c r="D6" s="3" t="s">
        <v>105</v>
      </c>
      <c r="E6" s="10" t="n">
        <v>1</v>
      </c>
      <c r="F6" s="9" t="n">
        <v>2500</v>
      </c>
      <c r="G6" s="4" t="n">
        <f aca="false">E6*F6</f>
        <v>2500</v>
      </c>
      <c r="H6" s="4" t="n">
        <f aca="false">ROUND(G6*Notes!$B$4,2)</f>
        <v>375</v>
      </c>
      <c r="I6" s="4" t="n">
        <f aca="false">G6+H6</f>
        <v>2875</v>
      </c>
      <c r="J6" s="2" t="n">
        <v>46290</v>
      </c>
      <c r="K6" s="4" t="n">
        <f aca="false">I6-IF(L6="",0,L6*F6*(1+Notes!$B$4))</f>
        <v>2875</v>
      </c>
      <c r="L6" s="3"/>
      <c r="M6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12"/>
  </cols>
  <sheetData>
    <row r="1" customFormat="false" ht="15" hidden="false" customHeight="false" outlineLevel="0" collapsed="false">
      <c r="A1" s="1" t="s">
        <v>0</v>
      </c>
      <c r="B1" s="1" t="s">
        <v>82</v>
      </c>
      <c r="C1" s="1" t="s">
        <v>107</v>
      </c>
      <c r="D1" s="1" t="s">
        <v>35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108</v>
      </c>
    </row>
    <row r="2" customFormat="false" ht="15" hidden="false" customHeight="false" outlineLevel="0" collapsed="false">
      <c r="A2" s="2" t="n">
        <v>46204</v>
      </c>
      <c r="B2" s="3" t="s">
        <v>109</v>
      </c>
      <c r="C2" s="3" t="s">
        <v>75</v>
      </c>
      <c r="D2" s="3" t="s">
        <v>110</v>
      </c>
      <c r="E2" s="10" t="n">
        <v>5</v>
      </c>
      <c r="F2" s="9" t="n">
        <v>5700</v>
      </c>
      <c r="G2" s="4" t="n">
        <f aca="false">E2*F2</f>
        <v>28500</v>
      </c>
      <c r="H2" s="4" t="n">
        <f aca="false">ROUND(G2*Notes!$B$4,2)</f>
        <v>4275</v>
      </c>
      <c r="I2" s="4" t="n">
        <f aca="false">G2+H2</f>
        <v>32775</v>
      </c>
      <c r="J2" s="2" t="n">
        <v>46218</v>
      </c>
      <c r="K2" s="3" t="s">
        <v>111</v>
      </c>
    </row>
    <row r="3" customFormat="false" ht="15" hidden="false" customHeight="false" outlineLevel="0" collapsed="false">
      <c r="A3" s="2" t="n">
        <v>46235</v>
      </c>
      <c r="B3" s="3" t="s">
        <v>112</v>
      </c>
      <c r="C3" s="3" t="s">
        <v>75</v>
      </c>
      <c r="D3" s="3" t="s">
        <v>113</v>
      </c>
      <c r="E3" s="10" t="n">
        <v>4</v>
      </c>
      <c r="F3" s="9" t="n">
        <v>4900</v>
      </c>
      <c r="G3" s="4" t="n">
        <f aca="false">E3*F3</f>
        <v>19600</v>
      </c>
      <c r="H3" s="4" t="n">
        <f aca="false">ROUND(G3*Notes!$B$4,2)</f>
        <v>2940</v>
      </c>
      <c r="I3" s="4" t="n">
        <f aca="false">G3+H3</f>
        <v>22540</v>
      </c>
      <c r="J3" s="2" t="n">
        <v>46254</v>
      </c>
      <c r="K3" s="3" t="s">
        <v>111</v>
      </c>
    </row>
    <row r="4" customFormat="false" ht="15" hidden="false" customHeight="false" outlineLevel="0" collapsed="false">
      <c r="A4" s="2" t="n">
        <v>46242</v>
      </c>
      <c r="B4" s="3" t="s">
        <v>114</v>
      </c>
      <c r="C4" s="3" t="s">
        <v>79</v>
      </c>
      <c r="D4" s="3" t="s">
        <v>115</v>
      </c>
      <c r="E4" s="10" t="n">
        <v>2000</v>
      </c>
      <c r="F4" s="9" t="n">
        <v>2.1</v>
      </c>
      <c r="G4" s="4" t="n">
        <f aca="false">E4*F4</f>
        <v>4200</v>
      </c>
      <c r="H4" s="4" t="n">
        <f aca="false">ROUND(G4*Notes!$B$4,2)</f>
        <v>630</v>
      </c>
      <c r="I4" s="4" t="n">
        <f aca="false">G4+H4</f>
        <v>4830</v>
      </c>
      <c r="J4" s="3"/>
      <c r="K4" s="3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116</v>
      </c>
      <c r="C1" s="1" t="s">
        <v>117</v>
      </c>
      <c r="D1" s="1" t="s">
        <v>118</v>
      </c>
      <c r="E1" s="1" t="s">
        <v>108</v>
      </c>
    </row>
    <row r="2" customFormat="false" ht="15" hidden="false" customHeight="false" outlineLevel="0" collapsed="false">
      <c r="A2" s="2" t="n">
        <v>46234</v>
      </c>
      <c r="B2" s="3" t="s">
        <v>119</v>
      </c>
      <c r="C2" s="4"/>
      <c r="D2" s="4" t="n">
        <v>185</v>
      </c>
      <c r="E2" s="3" t="s">
        <v>120</v>
      </c>
    </row>
    <row r="3" customFormat="false" ht="15" hidden="false" customHeight="false" outlineLevel="0" collapsed="false">
      <c r="A3" s="2" t="n">
        <v>46265</v>
      </c>
      <c r="B3" s="3" t="s">
        <v>119</v>
      </c>
      <c r="C3" s="4"/>
      <c r="D3" s="4" t="n">
        <v>185</v>
      </c>
      <c r="E3" s="3" t="s">
        <v>120</v>
      </c>
    </row>
    <row r="4" customFormat="false" ht="15" hidden="false" customHeight="false" outlineLevel="0" collapsed="false">
      <c r="A4" s="2" t="n">
        <v>46277</v>
      </c>
      <c r="B4" s="3" t="s">
        <v>121</v>
      </c>
      <c r="C4" s="4" t="n">
        <v>500</v>
      </c>
      <c r="D4" s="4"/>
      <c r="E4" s="3" t="s">
        <v>122</v>
      </c>
    </row>
    <row r="5" customFormat="false" ht="15" hidden="false" customHeight="false" outlineLevel="0" collapsed="false">
      <c r="A5" s="2" t="n">
        <v>46295</v>
      </c>
      <c r="B5" s="3" t="s">
        <v>119</v>
      </c>
      <c r="C5" s="4"/>
      <c r="D5" s="4" t="n">
        <v>185</v>
      </c>
      <c r="E5" s="3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2026-10-09T18:47:54Z</dcterms:created>
  <dc:creator>openpyxl</dc:creator>
  <dc:description/>
  <dc:language>en-US</dc:language>
  <cp:lastModifiedBy/>
  <dcterms:modified xsi:type="dcterms:W3CDTF">2026-10-09T18:47:54Z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